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_업무요청서" sheetId="2" state="visible" r:id="rId2"/>
    <sheet name="B_통합업무보드" sheetId="3" state="visible" r:id="rId3"/>
    <sheet name="C_데일리스탠드업" sheetId="4" state="visible" r:id="rId4"/>
    <sheet name="D_표준공수표" sheetId="5" state="visible" r:id="rId5"/>
    <sheet name="E_역할로테이션" sheetId="6" state="visible" r:id="rId6"/>
    <sheet name="F_주간회고록" sheetId="7" state="visible" r:id="rId7"/>
    <sheet name="G_연장근로동의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맑은 고딕"/>
      <b val="1"/>
      <color rgb="001F3A5F"/>
      <sz val="16"/>
    </font>
    <font>
      <name val="맑은 고딕"/>
      <i val="1"/>
      <color rgb="00666666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FFF8E1"/>
      </patternFill>
    </fill>
    <fill>
      <patternFill patternType="solid">
        <fgColor rgb="001F3A5F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0" fillId="0" borderId="1" pivotButton="0" quotePrefix="0" xfId="0"/>
    <xf numFmtId="0" fontId="3" fillId="3" borderId="0" pivotButton="0" quotePrefix="0" xfId="0"/>
    <xf numFmtId="164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FFCDD2"/>
        </patternFill>
      </fill>
    </dxf>
    <dxf>
      <fill>
        <patternFill patternType="solid">
          <fgColor rgb="00FFF8E1"/>
        </patternFill>
      </fill>
    </dxf>
    <dxf>
      <fill>
        <patternFill patternType="solid">
          <fgColor rgb="00C8E6C9"/>
        </patternFill>
      </fill>
    </dxf>
    <dxf>
      <font>
        <name val="맑은 고딕"/>
        <b val="1"/>
        <color rgb="00B71C1C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25" customWidth="1" min="4" max="4"/>
  </cols>
  <sheetData>
    <row r="1" ht="24" customHeight="1">
      <c r="A1" s="1" t="inlineStr">
        <is>
          <t>업무 관리 양식 세트</t>
        </is>
      </c>
    </row>
    <row r="2" ht="16" customHeight="1">
      <c r="A2" s="2" t="inlineStr">
        <is>
          <t>팀장 부재·주니어 중심 조직의 운영체계</t>
        </is>
      </c>
    </row>
    <row r="4">
      <c r="A4" s="3" t="inlineStr">
        <is>
          <t>본 파일은 「인사팀장_미팅자료_업무프로세스개선안.pdf」의 별첨입니다.</t>
        </is>
      </c>
    </row>
    <row r="6" ht="26" customHeight="1">
      <c r="A6" s="4" t="inlineStr">
        <is>
          <t>코드</t>
        </is>
      </c>
      <c r="B6" s="4" t="inlineStr">
        <is>
          <t>양식명</t>
        </is>
      </c>
      <c r="C6" s="4" t="inlineStr">
        <is>
          <t>사용 시점</t>
        </is>
      </c>
      <c r="D6" s="4" t="inlineStr">
        <is>
          <t>작성 책임자</t>
        </is>
      </c>
    </row>
    <row r="7">
      <c r="A7" s="5" t="inlineStr">
        <is>
          <t>A</t>
        </is>
      </c>
      <c r="B7" s="5" t="inlineStr">
        <is>
          <t>업무 요청서</t>
        </is>
      </c>
      <c r="C7" s="5" t="inlineStr">
        <is>
          <t>신규 업무 발생 시</t>
        </is>
      </c>
      <c r="D7" s="5" t="inlineStr">
        <is>
          <t>요청자</t>
        </is>
      </c>
    </row>
    <row r="8">
      <c r="A8" s="5" t="inlineStr">
        <is>
          <t>B</t>
        </is>
      </c>
      <c r="B8" s="5" t="inlineStr">
        <is>
          <t>통합 업무 보드</t>
        </is>
      </c>
      <c r="C8" s="5" t="inlineStr">
        <is>
          <t>상시 (모든 업무)</t>
        </is>
      </c>
      <c r="D8" s="5" t="inlineStr">
        <is>
          <t>담당자</t>
        </is>
      </c>
    </row>
    <row r="9">
      <c r="A9" s="5" t="inlineStr">
        <is>
          <t>C</t>
        </is>
      </c>
      <c r="B9" s="5" t="inlineStr">
        <is>
          <t>데일리 스탠드업 회의록</t>
        </is>
      </c>
      <c r="C9" s="5" t="inlineStr">
        <is>
          <t>매일 09:00</t>
        </is>
      </c>
      <c r="D9" s="5" t="inlineStr">
        <is>
          <t>기록자(주 로테이션)</t>
        </is>
      </c>
    </row>
    <row r="10">
      <c r="A10" s="5" t="inlineStr">
        <is>
          <t>D</t>
        </is>
      </c>
      <c r="B10" s="5" t="inlineStr">
        <is>
          <t>표준 공수표 + 가용시간 산정</t>
        </is>
      </c>
      <c r="C10" s="5" t="inlineStr">
        <is>
          <t>월 1회 갱신 + 매주 누적 입력</t>
        </is>
      </c>
      <c r="D10" s="5" t="inlineStr">
        <is>
          <t>팀 공동</t>
        </is>
      </c>
    </row>
    <row r="11">
      <c r="A11" s="5" t="inlineStr">
        <is>
          <t>E</t>
        </is>
      </c>
      <c r="B11" s="5" t="inlineStr">
        <is>
          <t>역할 로테이션 표</t>
        </is>
      </c>
      <c r="C11" s="5" t="inlineStr">
        <is>
          <t>분기 단위 사전 공시</t>
        </is>
      </c>
      <c r="D11" s="5" t="inlineStr">
        <is>
          <t>업무조정자</t>
        </is>
      </c>
    </row>
    <row r="12">
      <c r="A12" s="5" t="inlineStr">
        <is>
          <t>F</t>
        </is>
      </c>
      <c r="B12" s="5" t="inlineStr">
        <is>
          <t>주간 회고록</t>
        </is>
      </c>
      <c r="C12" s="5" t="inlineStr">
        <is>
          <t>매주 금요일</t>
        </is>
      </c>
      <c r="D12" s="5" t="inlineStr">
        <is>
          <t>기록자</t>
        </is>
      </c>
    </row>
    <row r="13">
      <c r="A13" s="5" t="inlineStr">
        <is>
          <t>G</t>
        </is>
      </c>
      <c r="B13" s="5" t="inlineStr">
        <is>
          <t>연장근로 사전동의서</t>
        </is>
      </c>
      <c r="C13" s="5" t="inlineStr">
        <is>
          <t>80% 룰 초과 시</t>
        </is>
      </c>
      <c r="D13" s="5" t="inlineStr">
        <is>
          <t>담당자 + 인사</t>
        </is>
      </c>
    </row>
    <row r="16">
      <c r="A16" s="1" t="inlineStr">
        <is>
          <t>■ 운영 원칙</t>
        </is>
      </c>
    </row>
    <row r="17">
      <c r="A17" s="6" t="inlineStr">
        <is>
          <t>1. 보드에 등록되지 않은 업무는 "존재하지 않는 업무"로 간주합니다.</t>
        </is>
      </c>
    </row>
    <row r="18">
      <c r="A18" s="6" t="inlineStr">
        <is>
          <t>2. 가용 시간의 80%(주 32h)까지만 업무를 채웁니다. 나머지는 돌발·휴게·이동 버퍼.</t>
        </is>
      </c>
    </row>
    <row r="19">
      <c r="A19" s="6" t="inlineStr">
        <is>
          <t>3. 모든 회의는 사전 의제 + 시간 박싱 + 결정 1건 이상의 산출물을 남깁니다.</t>
        </is>
      </c>
    </row>
    <row r="20">
      <c r="A20" s="6" t="inlineStr">
        <is>
          <t>4. 퇴근 후 메신저로 업무 지시를 하지 않습니다. 보드 마감일은 근무시간 내로 설정합니다.</t>
        </is>
      </c>
    </row>
    <row r="21">
      <c r="A21" s="6" t="inlineStr">
        <is>
          <t>5. PC 감시·키로깅 등의 도구는 사용하지 않습니다 (개인정보보호법 위반 소지).</t>
        </is>
      </c>
    </row>
  </sheetData>
  <mergeCells count="8">
    <mergeCell ref="A1:D1"/>
    <mergeCell ref="A17:D17"/>
    <mergeCell ref="A18:D18"/>
    <mergeCell ref="A4:D4"/>
    <mergeCell ref="A20:D20"/>
    <mergeCell ref="A21:D21"/>
    <mergeCell ref="A2:D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</cols>
  <sheetData>
    <row r="1" ht="24" customHeight="1">
      <c r="A1" s="1" t="inlineStr">
        <is>
          <t>[양식 A] 업무 요청서</t>
        </is>
      </c>
    </row>
    <row r="2" ht="16" customHeight="1">
      <c r="A2" s="2" t="inlineStr">
        <is>
          <t>신규 업무는 반드시 본 양식으로 접수합니다. 구두/메신저 요청도 수령자가 본 시트에 등록합니다.</t>
        </is>
      </c>
    </row>
    <row r="4">
      <c r="A4" s="7" t="inlineStr">
        <is>
          <t>요청 번호</t>
        </is>
      </c>
      <c r="B4" s="5" t="inlineStr">
        <is>
          <t>REQ-YYYYMMDD-001</t>
        </is>
      </c>
      <c r="C4" s="8" t="n"/>
      <c r="D4" s="9" t="n"/>
    </row>
    <row r="5">
      <c r="A5" s="7" t="inlineStr">
        <is>
          <t>요청일자</t>
        </is>
      </c>
      <c r="B5" s="5" t="inlineStr"/>
      <c r="C5" s="8" t="n"/>
      <c r="D5" s="9" t="n"/>
    </row>
    <row r="6">
      <c r="A6" s="7" t="inlineStr">
        <is>
          <t>요청자 (이름/소속)</t>
        </is>
      </c>
      <c r="B6" s="5" t="inlineStr"/>
      <c r="C6" s="8" t="n"/>
      <c r="D6" s="9" t="n"/>
    </row>
    <row r="7">
      <c r="A7" s="7" t="inlineStr">
        <is>
          <t>담당 희망자 (지명 가능 시)</t>
        </is>
      </c>
      <c r="B7" s="5" t="inlineStr"/>
      <c r="C7" s="8" t="n"/>
      <c r="D7" s="9" t="n"/>
    </row>
    <row r="8">
      <c r="A8" s="7" t="inlineStr">
        <is>
          <t>업무 제목</t>
        </is>
      </c>
      <c r="B8" s="5" t="inlineStr"/>
      <c r="C8" s="8" t="n"/>
      <c r="D8" s="9" t="n"/>
    </row>
    <row r="9">
      <c r="A9" s="7" t="inlineStr">
        <is>
          <t>업무 설명 (배경·목적)</t>
        </is>
      </c>
      <c r="B9" s="5" t="inlineStr"/>
      <c r="C9" s="8" t="n"/>
      <c r="D9" s="9" t="n"/>
    </row>
    <row r="10">
      <c r="A10" s="7" t="inlineStr">
        <is>
          <t>기대 산출물 (구체적 결과물)</t>
        </is>
      </c>
      <c r="B10" s="5" t="inlineStr"/>
      <c r="C10" s="8" t="n"/>
      <c r="D10" s="9" t="n"/>
    </row>
    <row r="11">
      <c r="A11" s="7" t="inlineStr">
        <is>
          <t>희망 마감일</t>
        </is>
      </c>
      <c r="B11" s="5" t="inlineStr"/>
      <c r="C11" s="8" t="n"/>
      <c r="D11" s="9" t="n"/>
    </row>
    <row r="12">
      <c r="A12" s="7" t="inlineStr">
        <is>
          <t>P등급 (P1~P4)</t>
        </is>
      </c>
      <c r="B12" s="5" t="inlineStr">
        <is>
          <t>P2</t>
        </is>
      </c>
      <c r="C12" s="8" t="n"/>
      <c r="D12" s="9" t="n"/>
    </row>
    <row r="13">
      <c r="A13" s="7" t="inlineStr">
        <is>
          <t>P등급 사유</t>
        </is>
      </c>
      <c r="B13" s="5" t="inlineStr"/>
      <c r="C13" s="8" t="n"/>
      <c r="D13" s="9" t="n"/>
    </row>
    <row r="14">
      <c r="A14" s="7" t="inlineStr">
        <is>
          <t>예상 영향 (미수행 시 리스크)</t>
        </is>
      </c>
      <c r="B14" s="5" t="inlineStr"/>
      <c r="C14" s="8" t="n"/>
      <c r="D14" s="9" t="n"/>
    </row>
    <row r="15">
      <c r="A15" s="7" t="inlineStr">
        <is>
          <t>참고 자료/링크</t>
        </is>
      </c>
      <c r="B15" s="5" t="inlineStr"/>
      <c r="C15" s="8" t="n"/>
      <c r="D15" s="9" t="n"/>
    </row>
    <row r="16">
      <c r="A16" s="10">
        <f>===== 이하 담당자 작성 ======</f>
        <v/>
      </c>
      <c r="B16" s="5" t="inlineStr"/>
      <c r="C16" s="8" t="n"/>
      <c r="D16" s="9" t="n"/>
    </row>
    <row r="17">
      <c r="A17" s="7" t="inlineStr">
        <is>
          <t>배정 담당자</t>
        </is>
      </c>
      <c r="B17" s="5" t="inlineStr"/>
      <c r="C17" s="8" t="n"/>
      <c r="D17" s="9" t="n"/>
    </row>
    <row r="18">
      <c r="A18" s="7" t="inlineStr">
        <is>
          <t>예상 소요시간 (h)</t>
        </is>
      </c>
      <c r="B18" s="5" t="inlineStr"/>
      <c r="C18" s="8" t="n"/>
      <c r="D18" s="9" t="n"/>
    </row>
    <row r="19">
      <c r="A19" s="7" t="inlineStr">
        <is>
          <t>확정 마감일</t>
        </is>
      </c>
      <c r="B19" s="5" t="inlineStr"/>
      <c r="C19" s="8" t="n"/>
      <c r="D19" s="9" t="n"/>
    </row>
    <row r="20">
      <c r="A20" s="7" t="inlineStr">
        <is>
          <t>상태 (접수/진행/완료/반려)</t>
        </is>
      </c>
      <c r="B20" s="5" t="inlineStr">
        <is>
          <t>접수</t>
        </is>
      </c>
      <c r="C20" s="8" t="n"/>
      <c r="D20" s="9" t="n"/>
    </row>
    <row r="21">
      <c r="A21" s="7" t="inlineStr">
        <is>
          <t>비고</t>
        </is>
      </c>
      <c r="B21" s="5" t="inlineStr"/>
      <c r="C21" s="8" t="n"/>
      <c r="D21" s="9" t="n"/>
    </row>
  </sheetData>
  <mergeCells count="20">
    <mergeCell ref="B11:D11"/>
    <mergeCell ref="B14:D14"/>
    <mergeCell ref="B8:D8"/>
    <mergeCell ref="B17:D17"/>
    <mergeCell ref="B13:D13"/>
    <mergeCell ref="A1:H1"/>
    <mergeCell ref="B10:D10"/>
    <mergeCell ref="B19:D19"/>
    <mergeCell ref="B9:D9"/>
    <mergeCell ref="B15:D15"/>
    <mergeCell ref="B6:D6"/>
    <mergeCell ref="B20:D20"/>
    <mergeCell ref="B5:D5"/>
    <mergeCell ref="A2:H2"/>
    <mergeCell ref="B4:D4"/>
    <mergeCell ref="B7:D7"/>
    <mergeCell ref="B16:D16"/>
    <mergeCell ref="B18:D18"/>
    <mergeCell ref="B21:D21"/>
    <mergeCell ref="B12:D12"/>
  </mergeCells>
  <dataValidations count="2">
    <dataValidation sqref="B12" showDropDown="0" showInputMessage="0" showErrorMessage="0" allowBlank="1" type="list">
      <formula1>"P1,P2,P3,P4"</formula1>
    </dataValidation>
    <dataValidation sqref="B20" showDropDown="0" showInputMessage="0" showErrorMessage="0" allowBlank="1" type="list">
      <formula1>"접수,진행,완료,반려,보류"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8" customWidth="1" min="4" max="4"/>
    <col width="7" customWidth="1" min="5" max="5"/>
    <col width="9" customWidth="1" min="6" max="6"/>
    <col width="9" customWidth="1" min="7" max="7"/>
    <col width="12" customWidth="1" min="8" max="8"/>
    <col width="12" customWidth="1" min="9" max="9"/>
    <col width="10" customWidth="1" min="10" max="10"/>
    <col width="12" customWidth="1" min="11" max="11"/>
    <col width="20" customWidth="1" min="12" max="12"/>
  </cols>
  <sheetData>
    <row r="1" ht="24" customHeight="1">
      <c r="A1" s="1" t="inlineStr">
        <is>
          <t>[양식 B] 통합 업무 보드</t>
        </is>
      </c>
    </row>
    <row r="2" ht="16" customHeight="1">
      <c r="A2" s="2" t="inlineStr">
        <is>
          <t>전사 모든 업무의 단일 저장소. 보드에 등록되지 않은 업무는 "존재하지 않는 업무"로 간주합니다.</t>
        </is>
      </c>
    </row>
    <row r="4" ht="26" customHeight="1">
      <c r="A4" s="4" t="inlineStr">
        <is>
          <t>ID</t>
        </is>
      </c>
      <c r="B4" s="4" t="inlineStr">
        <is>
          <t>담당자</t>
        </is>
      </c>
      <c r="C4" s="4" t="inlineStr">
        <is>
          <t>업무명</t>
        </is>
      </c>
      <c r="D4" s="4" t="inlineStr">
        <is>
          <t>유형</t>
        </is>
      </c>
      <c r="E4" s="4" t="inlineStr">
        <is>
          <t>P등급</t>
        </is>
      </c>
      <c r="F4" s="4" t="inlineStr">
        <is>
          <t>예상 소요(h)</t>
        </is>
      </c>
      <c r="G4" s="4" t="inlineStr">
        <is>
          <t>실제 소요(h)</t>
        </is>
      </c>
      <c r="H4" s="4" t="inlineStr">
        <is>
          <t>시작일</t>
        </is>
      </c>
      <c r="I4" s="4" t="inlineStr">
        <is>
          <t>마감일</t>
        </is>
      </c>
      <c r="J4" s="4" t="inlineStr">
        <is>
          <t>상태</t>
        </is>
      </c>
      <c r="K4" s="4" t="inlineStr">
        <is>
          <t>요청자</t>
        </is>
      </c>
      <c r="L4" s="4" t="inlineStr">
        <is>
          <t>비고</t>
        </is>
      </c>
    </row>
    <row r="5">
      <c r="A5" s="5" t="inlineStr">
        <is>
          <t>BD-0001</t>
        </is>
      </c>
      <c r="B5" s="5" t="inlineStr">
        <is>
          <t>홍길동</t>
        </is>
      </c>
      <c r="C5" s="5" t="inlineStr">
        <is>
          <t>5월 정기 매출보고서 작성</t>
        </is>
      </c>
      <c r="D5" s="5" t="inlineStr">
        <is>
          <t>정기</t>
        </is>
      </c>
      <c r="E5" s="5" t="inlineStr">
        <is>
          <t>P2</t>
        </is>
      </c>
      <c r="F5" s="5" t="n">
        <v>3</v>
      </c>
      <c r="G5" s="5" t="inlineStr"/>
      <c r="H5" s="5" t="inlineStr">
        <is>
          <t>2026-05-11</t>
        </is>
      </c>
      <c r="I5" s="5" t="inlineStr">
        <is>
          <t>2026-05-13</t>
        </is>
      </c>
      <c r="J5" s="5" t="inlineStr">
        <is>
          <t>진행</t>
        </is>
      </c>
      <c r="K5" s="5" t="inlineStr">
        <is>
          <t>경영지원팀장</t>
        </is>
      </c>
      <c r="L5" s="5" t="inlineStr"/>
    </row>
    <row r="6">
      <c r="A6" s="5" t="inlineStr">
        <is>
          <t>BD-0002</t>
        </is>
      </c>
      <c r="B6" s="5" t="inlineStr">
        <is>
          <t>김철수</t>
        </is>
      </c>
      <c r="C6" s="5" t="inlineStr">
        <is>
          <t>신상품 A 상세페이지 디자인</t>
        </is>
      </c>
      <c r="D6" s="5" t="inlineStr">
        <is>
          <t>비정기</t>
        </is>
      </c>
      <c r="E6" s="5" t="inlineStr">
        <is>
          <t>P2</t>
        </is>
      </c>
      <c r="F6" s="5" t="n">
        <v>6</v>
      </c>
      <c r="G6" s="5" t="inlineStr"/>
      <c r="H6" s="5" t="inlineStr">
        <is>
          <t>2026-05-11</t>
        </is>
      </c>
      <c r="I6" s="5" t="inlineStr">
        <is>
          <t>2026-05-15</t>
        </is>
      </c>
      <c r="J6" s="5" t="inlineStr">
        <is>
          <t>진행</t>
        </is>
      </c>
      <c r="K6" s="5" t="inlineStr">
        <is>
          <t>MD</t>
        </is>
      </c>
      <c r="L6" s="5" t="inlineStr"/>
    </row>
    <row r="7">
      <c r="A7" s="5" t="inlineStr">
        <is>
          <t>BD-0003</t>
        </is>
      </c>
      <c r="B7" s="5" t="inlineStr">
        <is>
          <t>이영희</t>
        </is>
      </c>
      <c r="C7" s="5" t="inlineStr">
        <is>
          <t>5월 광고소재 제작</t>
        </is>
      </c>
      <c r="D7" s="5" t="inlineStr">
        <is>
          <t>정기</t>
        </is>
      </c>
      <c r="E7" s="5" t="inlineStr">
        <is>
          <t>P3</t>
        </is>
      </c>
      <c r="F7" s="5" t="n">
        <v>4</v>
      </c>
      <c r="G7" s="5" t="inlineStr"/>
      <c r="H7" s="5" t="inlineStr">
        <is>
          <t>2026-05-11</t>
        </is>
      </c>
      <c r="I7" s="5" t="inlineStr">
        <is>
          <t>2026-05-17</t>
        </is>
      </c>
      <c r="J7" s="5" t="inlineStr">
        <is>
          <t>접수</t>
        </is>
      </c>
      <c r="K7" s="5" t="inlineStr">
        <is>
          <t>마케팅팀장</t>
        </is>
      </c>
      <c r="L7" s="5" t="inlineStr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</sheetData>
  <mergeCells count="2">
    <mergeCell ref="A2:L2"/>
    <mergeCell ref="A1:L1"/>
  </mergeCells>
  <conditionalFormatting sqref="I5:I60">
    <cfRule type="expression" priority="1" dxfId="0">
      <formula>AND(I5&lt;&gt;"", I5&lt;TODAY(), J5&lt;&gt;"완료")</formula>
    </cfRule>
    <cfRule type="expression" priority="2" dxfId="1">
      <formula>AND(I5&lt;&gt;"", I5-TODAY()&lt;=2, I5&gt;=TODAY(), J5&lt;&gt;"완료")</formula>
    </cfRule>
  </conditionalFormatting>
  <dataValidations count="3">
    <dataValidation sqref="J5:J60" showDropDown="0" showInputMessage="0" showErrorMessage="0" allowBlank="1" type="list">
      <formula1>"접수,진행,완료,반려,보류"</formula1>
    </dataValidation>
    <dataValidation sqref="E5:E60" showDropDown="0" showInputMessage="0" showErrorMessage="0" allowBlank="1" type="list">
      <formula1>"P1,P2,P3,P4"</formula1>
    </dataValidation>
    <dataValidation sqref="D5:D60" showDropDown="0" showInputMessage="0" showErrorMessage="0" allowBlank="1" type="list">
      <formula1>"정기,비정기,개선,학습"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0" customWidth="1" min="4" max="4"/>
    <col width="12" customWidth="1" min="5" max="5"/>
    <col width="12" customWidth="1" min="6" max="6"/>
  </cols>
  <sheetData>
    <row r="1" ht="24" customHeight="1">
      <c r="A1" s="1" t="inlineStr">
        <is>
          <t>[양식 C] 데일리 스탠드업 회의록</t>
        </is>
      </c>
    </row>
    <row r="2" ht="16" customHeight="1">
      <c r="A2" s="2" t="inlineStr">
        <is>
          <t>매일 09:00–09:15 / 1인 1~2분 / 토론 금지</t>
        </is>
      </c>
    </row>
    <row r="4">
      <c r="A4" s="11" t="inlineStr">
        <is>
          <t>회의 일자</t>
        </is>
      </c>
      <c r="B4" s="12" t="inlineStr"/>
      <c r="C4" s="11" t="inlineStr">
        <is>
          <t>진행자</t>
        </is>
      </c>
      <c r="D4" s="12" t="inlineStr"/>
      <c r="E4" s="11" t="inlineStr">
        <is>
          <t>기록자</t>
        </is>
      </c>
      <c r="F4" s="12" t="inlineStr"/>
    </row>
    <row r="6" ht="26" customHeight="1">
      <c r="A6" s="4" t="inlineStr">
        <is>
          <t>참석자</t>
        </is>
      </c>
      <c r="B6" s="4" t="inlineStr">
        <is>
          <t>어제 한 일</t>
        </is>
      </c>
      <c r="C6" s="4" t="inlineStr">
        <is>
          <t>오늘 할 일</t>
        </is>
      </c>
      <c r="D6" s="4" t="inlineStr">
        <is>
          <t>막힌 점·도움 요청</t>
        </is>
      </c>
      <c r="E6" s="4" t="inlineStr">
        <is>
          <t>관련 BD-ID</t>
        </is>
      </c>
      <c r="F6" s="4" t="inlineStr">
        <is>
          <t>후속 조치자</t>
        </is>
      </c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2">
      <c r="A22" s="13" t="inlineStr">
        <is>
          <t>막힌 이슈 후속 액션 (스탠드업 후 별도 30분 내 처리)</t>
        </is>
      </c>
    </row>
    <row r="23" ht="26" customHeight="1">
      <c r="A23" s="4" t="inlineStr">
        <is>
          <t>이슈</t>
        </is>
      </c>
      <c r="B23" s="4" t="inlineStr">
        <is>
          <t>해결책 합의</t>
        </is>
      </c>
      <c r="C23" s="4" t="inlineStr">
        <is>
          <t>담당자</t>
        </is>
      </c>
      <c r="D23" s="4" t="inlineStr">
        <is>
          <t>기한</t>
        </is>
      </c>
      <c r="E23" s="4" t="inlineStr">
        <is>
          <t>상태</t>
        </is>
      </c>
      <c r="F23" s="4" t="inlineStr">
        <is>
          <t>비고</t>
        </is>
      </c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2" customWidth="1" min="4" max="4"/>
    <col width="12" customWidth="1" min="5" max="5"/>
    <col width="30" customWidth="1" min="6" max="6"/>
  </cols>
  <sheetData>
    <row r="1" ht="24" customHeight="1">
      <c r="A1" s="1" t="inlineStr">
        <is>
          <t>[양식 D] 표준 업무 공수표</t>
        </is>
      </c>
    </row>
    <row r="2" ht="16" customHeight="1">
      <c r="A2" s="2" t="inlineStr">
        <is>
          <t>업무 유형별 1회 처리 표준 시간. 누적 시간 산정·80% 룰의 근거 데이터.</t>
        </is>
      </c>
    </row>
    <row r="4" ht="26" customHeight="1">
      <c r="A4" s="4" t="inlineStr">
        <is>
          <t>업무코드</t>
        </is>
      </c>
      <c r="B4" s="4" t="inlineStr">
        <is>
          <t>부문</t>
        </is>
      </c>
      <c r="C4" s="4" t="inlineStr">
        <is>
          <t>업무명</t>
        </is>
      </c>
      <c r="D4" s="4" t="inlineStr">
        <is>
          <t>단위</t>
        </is>
      </c>
      <c r="E4" s="4" t="inlineStr">
        <is>
          <t>표준 소요(h)</t>
        </is>
      </c>
      <c r="F4" s="4" t="inlineStr">
        <is>
          <t>비고</t>
        </is>
      </c>
    </row>
    <row r="5">
      <c r="A5" s="5" t="inlineStr">
        <is>
          <t>MK-001</t>
        </is>
      </c>
      <c r="B5" s="5" t="inlineStr">
        <is>
          <t>마케팅</t>
        </is>
      </c>
      <c r="C5" s="5" t="inlineStr">
        <is>
          <t>광고 소재 1세트 제작</t>
        </is>
      </c>
      <c r="D5" s="5" t="inlineStr">
        <is>
          <t>1세트</t>
        </is>
      </c>
      <c r="E5" s="5" t="n">
        <v>4</v>
      </c>
      <c r="F5" s="5" t="inlineStr">
        <is>
          <t>이미지 3종 + 카피</t>
        </is>
      </c>
    </row>
    <row r="6">
      <c r="A6" s="5" t="inlineStr">
        <is>
          <t>MK-002</t>
        </is>
      </c>
      <c r="B6" s="5" t="inlineStr">
        <is>
          <t>마케팅</t>
        </is>
      </c>
      <c r="C6" s="5" t="inlineStr">
        <is>
          <t>주간 광고 리포트</t>
        </is>
      </c>
      <c r="D6" s="5" t="inlineStr">
        <is>
          <t>1건</t>
        </is>
      </c>
      <c r="E6" s="5" t="n">
        <v>2</v>
      </c>
      <c r="F6" s="5" t="inlineStr">
        <is>
          <t>주 1회 정기</t>
        </is>
      </c>
    </row>
    <row r="7">
      <c r="A7" s="5" t="inlineStr">
        <is>
          <t>MK-003</t>
        </is>
      </c>
      <c r="B7" s="5" t="inlineStr">
        <is>
          <t>마케팅</t>
        </is>
      </c>
      <c r="C7" s="5" t="inlineStr">
        <is>
          <t>콘텐츠 기획 + 발행 1건</t>
        </is>
      </c>
      <c r="D7" s="5" t="inlineStr">
        <is>
          <t>1건</t>
        </is>
      </c>
      <c r="E7" s="5" t="n">
        <v>6</v>
      </c>
      <c r="F7" s="5" t="inlineStr">
        <is>
          <t>SNS 기준</t>
        </is>
      </c>
    </row>
    <row r="8">
      <c r="A8" s="5" t="inlineStr">
        <is>
          <t>DV-001</t>
        </is>
      </c>
      <c r="B8" s="5" t="inlineStr">
        <is>
          <t>개발</t>
        </is>
      </c>
      <c r="C8" s="5" t="inlineStr">
        <is>
          <t>신규 페이지 퍼블리싱</t>
        </is>
      </c>
      <c r="D8" s="5" t="inlineStr">
        <is>
          <t>1page</t>
        </is>
      </c>
      <c r="E8" s="5" t="n">
        <v>8</v>
      </c>
      <c r="F8" s="5" t="inlineStr">
        <is>
          <t>디자인 시안 받은 후</t>
        </is>
      </c>
    </row>
    <row r="9">
      <c r="A9" s="5" t="inlineStr">
        <is>
          <t>DV-002</t>
        </is>
      </c>
      <c r="B9" s="5" t="inlineStr">
        <is>
          <t>개발</t>
        </is>
      </c>
      <c r="C9" s="5" t="inlineStr">
        <is>
          <t>버그 수정 (Minor)</t>
        </is>
      </c>
      <c r="D9" s="5" t="inlineStr">
        <is>
          <t>1건</t>
        </is>
      </c>
      <c r="E9" s="5" t="n">
        <v>1</v>
      </c>
      <c r="F9" s="5" t="inlineStr"/>
    </row>
    <row r="10">
      <c r="A10" s="5" t="inlineStr">
        <is>
          <t>DV-003</t>
        </is>
      </c>
      <c r="B10" s="5" t="inlineStr">
        <is>
          <t>개발</t>
        </is>
      </c>
      <c r="C10" s="5" t="inlineStr">
        <is>
          <t>버그 수정 (Major)</t>
        </is>
      </c>
      <c r="D10" s="5" t="inlineStr">
        <is>
          <t>1건</t>
        </is>
      </c>
      <c r="E10" s="5" t="n">
        <v>4</v>
      </c>
      <c r="F10" s="5" t="inlineStr"/>
    </row>
    <row r="11">
      <c r="A11" s="5" t="inlineStr">
        <is>
          <t>MD-001</t>
        </is>
      </c>
      <c r="B11" s="5" t="inlineStr">
        <is>
          <t>MD</t>
        </is>
      </c>
      <c r="C11" s="5" t="inlineStr">
        <is>
          <t>신상품 1개 등록</t>
        </is>
      </c>
      <c r="D11" s="5" t="inlineStr">
        <is>
          <t>1건</t>
        </is>
      </c>
      <c r="E11" s="5" t="n">
        <v>2</v>
      </c>
      <c r="F11" s="5" t="inlineStr">
        <is>
          <t>사진·설명·옵션 포함</t>
        </is>
      </c>
    </row>
    <row r="12">
      <c r="A12" s="5" t="inlineStr">
        <is>
          <t>MD-002</t>
        </is>
      </c>
      <c r="B12" s="5" t="inlineStr">
        <is>
          <t>MD</t>
        </is>
      </c>
      <c r="C12" s="5" t="inlineStr">
        <is>
          <t>주간 매입 발주</t>
        </is>
      </c>
      <c r="D12" s="5" t="inlineStr">
        <is>
          <t>1주</t>
        </is>
      </c>
      <c r="E12" s="5" t="n">
        <v>3</v>
      </c>
      <c r="F12" s="5" t="inlineStr"/>
    </row>
    <row r="13">
      <c r="A13" s="5" t="inlineStr">
        <is>
          <t>VM-001</t>
        </is>
      </c>
      <c r="B13" s="5" t="inlineStr">
        <is>
          <t>VMD</t>
        </is>
      </c>
      <c r="C13" s="5" t="inlineStr">
        <is>
          <t>오프라인 매장 진열 변경</t>
        </is>
      </c>
      <c r="D13" s="5" t="inlineStr">
        <is>
          <t>1매장</t>
        </is>
      </c>
      <c r="E13" s="5" t="n">
        <v>6</v>
      </c>
      <c r="F13" s="5" t="inlineStr"/>
    </row>
    <row r="14">
      <c r="A14" s="5" t="inlineStr">
        <is>
          <t>DS-001</t>
        </is>
      </c>
      <c r="B14" s="5" t="inlineStr">
        <is>
          <t>디자인</t>
        </is>
      </c>
      <c r="C14" s="5" t="inlineStr">
        <is>
          <t>상세페이지 디자인</t>
        </is>
      </c>
      <c r="D14" s="5" t="inlineStr">
        <is>
          <t>1건</t>
        </is>
      </c>
      <c r="E14" s="5" t="n">
        <v>8</v>
      </c>
      <c r="F14" s="5" t="inlineStr"/>
    </row>
    <row r="15">
      <c r="A15" s="5" t="inlineStr">
        <is>
          <t>DS-002</t>
        </is>
      </c>
      <c r="B15" s="5" t="inlineStr">
        <is>
          <t>디자인</t>
        </is>
      </c>
      <c r="C15" s="5" t="inlineStr">
        <is>
          <t>배너 디자인</t>
        </is>
      </c>
      <c r="D15" s="5" t="inlineStr">
        <is>
          <t>1건</t>
        </is>
      </c>
      <c r="E15" s="5" t="n">
        <v>2</v>
      </c>
      <c r="F15" s="5" t="inlineStr"/>
    </row>
    <row r="16">
      <c r="A16" s="5" t="inlineStr">
        <is>
          <t>CS-001</t>
        </is>
      </c>
      <c r="B16" s="5" t="inlineStr">
        <is>
          <t>CS</t>
        </is>
      </c>
      <c r="C16" s="5" t="inlineStr">
        <is>
          <t>1:1 문의 응대</t>
        </is>
      </c>
      <c r="D16" s="5" t="inlineStr">
        <is>
          <t>1건</t>
        </is>
      </c>
      <c r="E16" s="5" t="n">
        <v>0.25</v>
      </c>
      <c r="F16" s="5" t="inlineStr">
        <is>
          <t>평균</t>
        </is>
      </c>
    </row>
    <row r="17">
      <c r="A17" s="5" t="inlineStr">
        <is>
          <t>CS-002</t>
        </is>
      </c>
      <c r="B17" s="5" t="inlineStr">
        <is>
          <t>CS</t>
        </is>
      </c>
      <c r="C17" s="5" t="inlineStr">
        <is>
          <t>반품/교환 처리</t>
        </is>
      </c>
      <c r="D17" s="5" t="inlineStr">
        <is>
          <t>1건</t>
        </is>
      </c>
      <c r="E17" s="5" t="n">
        <v>0.5</v>
      </c>
      <c r="F17" s="5" t="inlineStr"/>
    </row>
    <row r="18">
      <c r="A18" s="5" t="inlineStr">
        <is>
          <t>SL-001</t>
        </is>
      </c>
      <c r="B18" s="5" t="inlineStr">
        <is>
          <t>영업</t>
        </is>
      </c>
      <c r="C18" s="5" t="inlineStr">
        <is>
          <t>B2B 신규 미팅</t>
        </is>
      </c>
      <c r="D18" s="5" t="inlineStr">
        <is>
          <t>1건</t>
        </is>
      </c>
      <c r="E18" s="5" t="n">
        <v>3</v>
      </c>
      <c r="F18" s="5" t="inlineStr">
        <is>
          <t>이동시간 포함</t>
        </is>
      </c>
    </row>
    <row r="19">
      <c r="A19" s="5" t="inlineStr">
        <is>
          <t>SL-002</t>
        </is>
      </c>
      <c r="B19" s="5" t="inlineStr">
        <is>
          <t>영업</t>
        </is>
      </c>
      <c r="C19" s="5" t="inlineStr">
        <is>
          <t>거래처 정기 컨택</t>
        </is>
      </c>
      <c r="D19" s="5" t="inlineStr">
        <is>
          <t>1건</t>
        </is>
      </c>
      <c r="E19" s="5" t="n">
        <v>0.5</v>
      </c>
      <c r="F19" s="5" t="inlineStr"/>
    </row>
    <row r="20">
      <c r="A20" s="5" t="inlineStr">
        <is>
          <t>HR-001</t>
        </is>
      </c>
      <c r="B20" s="5" t="inlineStr">
        <is>
          <t>인사</t>
        </is>
      </c>
      <c r="C20" s="5" t="inlineStr">
        <is>
          <t>급여 마감</t>
        </is>
      </c>
      <c r="D20" s="5" t="inlineStr">
        <is>
          <t>1회</t>
        </is>
      </c>
      <c r="E20" s="5" t="n">
        <v>8</v>
      </c>
      <c r="F20" s="5" t="inlineStr">
        <is>
          <t>월 1회</t>
        </is>
      </c>
    </row>
    <row r="21">
      <c r="A21" s="5" t="inlineStr">
        <is>
          <t>HR-002</t>
        </is>
      </c>
      <c r="B21" s="5" t="inlineStr">
        <is>
          <t>인사</t>
        </is>
      </c>
      <c r="C21" s="5" t="inlineStr">
        <is>
          <t>채용 1포지션 진행</t>
        </is>
      </c>
      <c r="D21" s="5" t="inlineStr">
        <is>
          <t>1포지션</t>
        </is>
      </c>
      <c r="E21" s="5" t="n">
        <v>20</v>
      </c>
      <c r="F21" s="5" t="inlineStr">
        <is>
          <t>공고~입사까지 누적</t>
        </is>
      </c>
    </row>
    <row r="22">
      <c r="A22" s="5" t="inlineStr">
        <is>
          <t>AC-001</t>
        </is>
      </c>
      <c r="B22" s="5" t="inlineStr">
        <is>
          <t>회계</t>
        </is>
      </c>
      <c r="C22" s="5" t="inlineStr">
        <is>
          <t>월 결산</t>
        </is>
      </c>
      <c r="D22" s="5" t="inlineStr">
        <is>
          <t>1회</t>
        </is>
      </c>
      <c r="E22" s="5" t="n">
        <v>16</v>
      </c>
      <c r="F22" s="5" t="inlineStr">
        <is>
          <t>월 1회</t>
        </is>
      </c>
    </row>
    <row r="23">
      <c r="A23" s="5" t="inlineStr">
        <is>
          <t>GA-001</t>
        </is>
      </c>
      <c r="B23" s="5" t="inlineStr">
        <is>
          <t>총무</t>
        </is>
      </c>
      <c r="C23" s="5" t="inlineStr">
        <is>
          <t>법인카드 정산</t>
        </is>
      </c>
      <c r="D23" s="5" t="inlineStr">
        <is>
          <t>1회</t>
        </is>
      </c>
      <c r="E23" s="5" t="n">
        <v>4</v>
      </c>
      <c r="F23" s="5" t="inlineStr">
        <is>
          <t>월 1회</t>
        </is>
      </c>
    </row>
    <row r="27">
      <c r="A27" s="1" t="inlineStr">
        <is>
          <t>■ 개인별 주간 가용시간 산정 (80% 룰)</t>
        </is>
      </c>
    </row>
    <row r="28" ht="26" customHeight="1">
      <c r="A28" s="4" t="inlineStr">
        <is>
          <t>담당자</t>
        </is>
      </c>
      <c r="B28" s="4" t="inlineStr">
        <is>
          <t>주 법정시간(h)</t>
        </is>
      </c>
      <c r="C28" s="4" t="inlineStr">
        <is>
          <t>버퍼(20%)</t>
        </is>
      </c>
      <c r="D28" s="4" t="inlineStr">
        <is>
          <t>가용 상한(h)</t>
        </is>
      </c>
      <c r="E28" s="4" t="inlineStr">
        <is>
          <t>이번주 누적 예상(h)</t>
        </is>
      </c>
      <c r="F28" s="4" t="inlineStr">
        <is>
          <t>활용률</t>
        </is>
      </c>
    </row>
    <row r="29">
      <c r="A29" s="5" t="inlineStr">
        <is>
          <t>마케팅팀장</t>
        </is>
      </c>
      <c r="B29" s="5" t="n">
        <v>40</v>
      </c>
      <c r="C29" s="5">
        <f>B29*0.2</f>
        <v/>
      </c>
      <c r="D29" s="5">
        <f>B29-C29</f>
        <v/>
      </c>
      <c r="E29" s="5" t="n">
        <v>0</v>
      </c>
      <c r="F29" s="14">
        <f>IF(D29=0,0,E29/D29)</f>
        <v/>
      </c>
    </row>
    <row r="30">
      <c r="A30" s="5" t="inlineStr">
        <is>
          <t>컨텐츠마케터</t>
        </is>
      </c>
      <c r="B30" s="5" t="n">
        <v>40</v>
      </c>
      <c r="C30" s="5">
        <f>B30*0.2</f>
        <v/>
      </c>
      <c r="D30" s="5">
        <f>B30-C30</f>
        <v/>
      </c>
      <c r="E30" s="5" t="n">
        <v>0</v>
      </c>
      <c r="F30" s="14">
        <f>IF(D30=0,0,E30/D30)</f>
        <v/>
      </c>
    </row>
    <row r="31">
      <c r="A31" s="5" t="inlineStr">
        <is>
          <t>퍼포먼스마케터</t>
        </is>
      </c>
      <c r="B31" s="5" t="n">
        <v>40</v>
      </c>
      <c r="C31" s="5">
        <f>B31*0.2</f>
        <v/>
      </c>
      <c r="D31" s="5">
        <f>B31-C31</f>
        <v/>
      </c>
      <c r="E31" s="5" t="n">
        <v>0</v>
      </c>
      <c r="F31" s="14">
        <f>IF(D31=0,0,E31/D31)</f>
        <v/>
      </c>
    </row>
    <row r="32">
      <c r="A32" s="5" t="inlineStr">
        <is>
          <t>프론트엔드</t>
        </is>
      </c>
      <c r="B32" s="5" t="n">
        <v>40</v>
      </c>
      <c r="C32" s="5">
        <f>B32*0.2</f>
        <v/>
      </c>
      <c r="D32" s="5">
        <f>B32-C32</f>
        <v/>
      </c>
      <c r="E32" s="5" t="n">
        <v>0</v>
      </c>
      <c r="F32" s="14">
        <f>IF(D32=0,0,E32/D32)</f>
        <v/>
      </c>
    </row>
    <row r="33">
      <c r="A33" s="5" t="inlineStr">
        <is>
          <t>MD</t>
        </is>
      </c>
      <c r="B33" s="5" t="n">
        <v>40</v>
      </c>
      <c r="C33" s="5">
        <f>B33*0.2</f>
        <v/>
      </c>
      <c r="D33" s="5">
        <f>B33-C33</f>
        <v/>
      </c>
      <c r="E33" s="5" t="n">
        <v>0</v>
      </c>
      <c r="F33" s="14">
        <f>IF(D33=0,0,E33/D33)</f>
        <v/>
      </c>
    </row>
    <row r="34">
      <c r="A34" s="5" t="inlineStr">
        <is>
          <t>VMD</t>
        </is>
      </c>
      <c r="B34" s="5" t="n">
        <v>40</v>
      </c>
      <c r="C34" s="5">
        <f>B34*0.2</f>
        <v/>
      </c>
      <c r="D34" s="5">
        <f>B34-C34</f>
        <v/>
      </c>
      <c r="E34" s="5" t="n">
        <v>0</v>
      </c>
      <c r="F34" s="14">
        <f>IF(D34=0,0,E34/D34)</f>
        <v/>
      </c>
    </row>
    <row r="35">
      <c r="A35" s="5" t="inlineStr">
        <is>
          <t>디자이너</t>
        </is>
      </c>
      <c r="B35" s="5" t="n">
        <v>40</v>
      </c>
      <c r="C35" s="5">
        <f>B35*0.2</f>
        <v/>
      </c>
      <c r="D35" s="5">
        <f>B35-C35</f>
        <v/>
      </c>
      <c r="E35" s="5" t="n">
        <v>0</v>
      </c>
      <c r="F35" s="14">
        <f>IF(D35=0,0,E35/D35)</f>
        <v/>
      </c>
    </row>
    <row r="36">
      <c r="A36" s="5" t="inlineStr">
        <is>
          <t>CS</t>
        </is>
      </c>
      <c r="B36" s="5" t="n">
        <v>40</v>
      </c>
      <c r="C36" s="5">
        <f>B36*0.2</f>
        <v/>
      </c>
      <c r="D36" s="5">
        <f>B36-C36</f>
        <v/>
      </c>
      <c r="E36" s="5" t="n">
        <v>0</v>
      </c>
      <c r="F36" s="14">
        <f>IF(D36=0,0,E36/D36)</f>
        <v/>
      </c>
    </row>
    <row r="37">
      <c r="A37" s="5" t="inlineStr">
        <is>
          <t>인사</t>
        </is>
      </c>
      <c r="B37" s="5" t="n">
        <v>40</v>
      </c>
      <c r="C37" s="5">
        <f>B37*0.2</f>
        <v/>
      </c>
      <c r="D37" s="5">
        <f>B37-C37</f>
        <v/>
      </c>
      <c r="E37" s="5" t="n">
        <v>0</v>
      </c>
      <c r="F37" s="14">
        <f>IF(D37=0,0,E37/D37)</f>
        <v/>
      </c>
    </row>
    <row r="38">
      <c r="A38" s="5" t="inlineStr">
        <is>
          <t>회계</t>
        </is>
      </c>
      <c r="B38" s="5" t="n">
        <v>40</v>
      </c>
      <c r="C38" s="5">
        <f>B38*0.2</f>
        <v/>
      </c>
      <c r="D38" s="5">
        <f>B38-C38</f>
        <v/>
      </c>
      <c r="E38" s="5" t="n">
        <v>0</v>
      </c>
      <c r="F38" s="14">
        <f>IF(D38=0,0,E38/D38)</f>
        <v/>
      </c>
    </row>
    <row r="39">
      <c r="A39" s="5" t="inlineStr">
        <is>
          <t>총무</t>
        </is>
      </c>
      <c r="B39" s="5" t="n">
        <v>40</v>
      </c>
      <c r="C39" s="5">
        <f>B39*0.2</f>
        <v/>
      </c>
      <c r="D39" s="5">
        <f>B39-C39</f>
        <v/>
      </c>
      <c r="E39" s="5" t="n">
        <v>0</v>
      </c>
      <c r="F39" s="14">
        <f>IF(D39=0,0,E39/D39)</f>
        <v/>
      </c>
    </row>
    <row r="40">
      <c r="A40" s="5" t="inlineStr">
        <is>
          <t>영업</t>
        </is>
      </c>
      <c r="B40" s="5" t="n">
        <v>40</v>
      </c>
      <c r="C40" s="5">
        <f>B40*0.2</f>
        <v/>
      </c>
      <c r="D40" s="5">
        <f>B40-C40</f>
        <v/>
      </c>
      <c r="E40" s="5" t="n">
        <v>0</v>
      </c>
      <c r="F40" s="14">
        <f>IF(D40=0,0,E40/D40)</f>
        <v/>
      </c>
    </row>
    <row r="41">
      <c r="A41" s="5" t="inlineStr">
        <is>
          <t>경영지원팀장</t>
        </is>
      </c>
      <c r="B41" s="5" t="n">
        <v>40</v>
      </c>
      <c r="C41" s="5">
        <f>B41*0.2</f>
        <v/>
      </c>
      <c r="D41" s="5">
        <f>B41-C41</f>
        <v/>
      </c>
      <c r="E41" s="5" t="n">
        <v>0</v>
      </c>
      <c r="F41" s="14">
        <f>IF(D41=0,0,E41/D41)</f>
        <v/>
      </c>
    </row>
  </sheetData>
  <mergeCells count="3">
    <mergeCell ref="A2:F2"/>
    <mergeCell ref="A1:F1"/>
    <mergeCell ref="A27:F27"/>
  </mergeCells>
  <conditionalFormatting sqref="F29:F41">
    <cfRule type="cellIs" priority="1" operator="greaterThan" dxfId="0">
      <formula>1</formula>
    </cfRule>
    <cfRule type="cellIs" priority="2" operator="between" dxfId="1">
      <formula>0.85</formula>
      <formula>1</formula>
    </cfRule>
    <cfRule type="cellIs" priority="3" operator="lessThanOrEqual" dxfId="2">
      <formula>0.85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[양식 E] 역할 로테이션 표</t>
        </is>
      </c>
    </row>
    <row r="2" ht="16" customHeight="1">
      <c r="A2" s="2" t="inlineStr">
        <is>
          <t>팀장 부재 시 팀장 기능을 4개 역할로 분산하여 순환합니다.</t>
        </is>
      </c>
    </row>
    <row r="4" ht="26" customHeight="1">
      <c r="A4" s="4" t="inlineStr">
        <is>
          <t>주차</t>
        </is>
      </c>
      <c r="B4" s="4" t="inlineStr">
        <is>
          <t>기간</t>
        </is>
      </c>
      <c r="C4" s="4" t="inlineStr">
        <is>
          <t>업무조정자</t>
        </is>
      </c>
      <c r="D4" s="4" t="inlineStr">
        <is>
          <t>진행자</t>
        </is>
      </c>
      <c r="E4" s="4" t="inlineStr">
        <is>
          <t>기록자</t>
        </is>
      </c>
      <c r="F4" s="4" t="inlineStr">
        <is>
          <t>외부 창구</t>
        </is>
      </c>
    </row>
    <row r="5">
      <c r="A5" s="5" t="inlineStr">
        <is>
          <t>W19</t>
        </is>
      </c>
      <c r="B5" s="5" t="inlineStr">
        <is>
          <t>05/05–05/11</t>
        </is>
      </c>
      <c r="C5" s="5" t="inlineStr">
        <is>
          <t>마케팅팀장</t>
        </is>
      </c>
      <c r="D5" s="5" t="inlineStr">
        <is>
          <t>컨텐츠마케터</t>
        </is>
      </c>
      <c r="E5" s="5" t="inlineStr">
        <is>
          <t>퍼포먼스마케터</t>
        </is>
      </c>
      <c r="F5" s="5" t="inlineStr">
        <is>
          <t>경영지원팀장</t>
        </is>
      </c>
    </row>
    <row r="6">
      <c r="A6" s="5" t="inlineStr">
        <is>
          <t>W20</t>
        </is>
      </c>
      <c r="B6" s="5" t="inlineStr">
        <is>
          <t>05/12–05/18</t>
        </is>
      </c>
      <c r="C6" s="5" t="inlineStr">
        <is>
          <t>마케팅팀장</t>
        </is>
      </c>
      <c r="D6" s="5" t="inlineStr">
        <is>
          <t>퍼포먼스마케터</t>
        </is>
      </c>
      <c r="E6" s="5" t="inlineStr">
        <is>
          <t>디자이너</t>
        </is>
      </c>
      <c r="F6" s="5" t="inlineStr">
        <is>
          <t>경영지원팀장</t>
        </is>
      </c>
    </row>
    <row r="7">
      <c r="A7" s="5" t="inlineStr">
        <is>
          <t>W21</t>
        </is>
      </c>
      <c r="B7" s="5" t="inlineStr">
        <is>
          <t>05/19–05/25</t>
        </is>
      </c>
      <c r="C7" s="5" t="inlineStr">
        <is>
          <t>마케팅팀장</t>
        </is>
      </c>
      <c r="D7" s="5" t="inlineStr">
        <is>
          <t>MD</t>
        </is>
      </c>
      <c r="E7" s="5" t="inlineStr">
        <is>
          <t>VMD</t>
        </is>
      </c>
      <c r="F7" s="5" t="inlineStr">
        <is>
          <t>경영지원팀장</t>
        </is>
      </c>
    </row>
    <row r="8">
      <c r="A8" s="5" t="inlineStr">
        <is>
          <t>W22</t>
        </is>
      </c>
      <c r="B8" s="5" t="inlineStr">
        <is>
          <t>05/26–06/01</t>
        </is>
      </c>
      <c r="C8" s="5" t="inlineStr">
        <is>
          <t>경영지원팀장</t>
        </is>
      </c>
      <c r="D8" s="5" t="inlineStr">
        <is>
          <t>프론트엔드</t>
        </is>
      </c>
      <c r="E8" s="5" t="inlineStr">
        <is>
          <t>CS</t>
        </is>
      </c>
      <c r="F8" s="5" t="inlineStr">
        <is>
          <t>경영지원팀장</t>
        </is>
      </c>
    </row>
    <row r="9">
      <c r="A9" s="5" t="inlineStr">
        <is>
          <t>W23</t>
        </is>
      </c>
      <c r="B9" s="5" t="inlineStr">
        <is>
          <t>06/02–06/08</t>
        </is>
      </c>
      <c r="C9" s="5" t="inlineStr">
        <is>
          <t>경영지원팀장</t>
        </is>
      </c>
      <c r="D9" s="5" t="inlineStr">
        <is>
          <t>인사</t>
        </is>
      </c>
      <c r="E9" s="5" t="inlineStr">
        <is>
          <t>회계</t>
        </is>
      </c>
      <c r="F9" s="5" t="inlineStr">
        <is>
          <t>마케팅팀장</t>
        </is>
      </c>
    </row>
    <row r="10">
      <c r="A10" s="5" t="inlineStr">
        <is>
          <t>W24</t>
        </is>
      </c>
      <c r="B10" s="5" t="inlineStr">
        <is>
          <t>06/09–06/15</t>
        </is>
      </c>
      <c r="C10" s="5" t="inlineStr">
        <is>
          <t>경영지원팀장</t>
        </is>
      </c>
      <c r="D10" s="5" t="inlineStr">
        <is>
          <t>총무</t>
        </is>
      </c>
      <c r="E10" s="5" t="inlineStr">
        <is>
          <t>영업</t>
        </is>
      </c>
      <c r="F10" s="5" t="inlineStr">
        <is>
          <t>마케팅팀장</t>
        </is>
      </c>
    </row>
    <row r="13">
      <c r="A13" s="1" t="inlineStr">
        <is>
          <t>역할 정의</t>
        </is>
      </c>
    </row>
    <row r="14" ht="26" customHeight="1">
      <c r="A14" s="4" t="inlineStr">
        <is>
          <t>역할</t>
        </is>
      </c>
      <c r="B14" s="4" t="inlineStr">
        <is>
          <t>책임</t>
        </is>
      </c>
      <c r="C14" s="8" t="n"/>
      <c r="D14" s="8" t="n"/>
      <c r="E14" s="9" t="n"/>
    </row>
    <row r="15">
      <c r="A15" s="5" t="inlineStr">
        <is>
          <t>업무조정자</t>
        </is>
      </c>
      <c r="B15" s="5" t="inlineStr">
        <is>
          <t>신규 업무 접수·배정, 보드 정합성 점검, 80% 룰 모니터링</t>
        </is>
      </c>
      <c r="C15" s="5" t="inlineStr">
        <is>
          <t>2주~1개월</t>
        </is>
      </c>
    </row>
    <row r="16">
      <c r="A16" s="5" t="inlineStr">
        <is>
          <t>진행자</t>
        </is>
      </c>
      <c r="B16" s="5" t="inlineStr">
        <is>
          <t>데일리/위클리 회의 진행, 시간 관리</t>
        </is>
      </c>
      <c r="C16" s="5" t="inlineStr">
        <is>
          <t>1주</t>
        </is>
      </c>
    </row>
    <row r="17">
      <c r="A17" s="5" t="inlineStr">
        <is>
          <t>기록자</t>
        </is>
      </c>
      <c r="B17" s="5" t="inlineStr">
        <is>
          <t>회의록 작성, 결정사항 보드 반영</t>
        </is>
      </c>
      <c r="C17" s="5" t="inlineStr">
        <is>
          <t>1주</t>
        </is>
      </c>
    </row>
    <row r="18">
      <c r="A18" s="5" t="inlineStr">
        <is>
          <t>외부 창구</t>
        </is>
      </c>
      <c r="B18" s="5" t="inlineStr">
        <is>
          <t>타 부서·상위 보고 단일 채널, 외부 요청 1차 수신</t>
        </is>
      </c>
      <c r="C18" s="5" t="inlineStr">
        <is>
          <t>1개월</t>
        </is>
      </c>
    </row>
  </sheetData>
  <mergeCells count="4">
    <mergeCell ref="A2:F2"/>
    <mergeCell ref="A1:F1"/>
    <mergeCell ref="F14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4" customWidth="1" min="4" max="4"/>
    <col width="25" customWidth="1" min="5" max="5"/>
  </cols>
  <sheetData>
    <row r="1" ht="24" customHeight="1">
      <c r="A1" s="1" t="inlineStr">
        <is>
          <t>[양식 F] 주간 회고록</t>
        </is>
      </c>
    </row>
    <row r="2" ht="16" customHeight="1">
      <c r="A2" s="2" t="inlineStr">
        <is>
          <t>매주 금요일 30분. 사람 탓 아닌 시스템 개선 안건 도출.</t>
        </is>
      </c>
    </row>
    <row r="4">
      <c r="A4" s="11" t="inlineStr">
        <is>
          <t>회고 주차</t>
        </is>
      </c>
      <c r="B4" s="12" t="inlineStr"/>
      <c r="C4" s="8" t="n"/>
      <c r="D4" s="8" t="n"/>
      <c r="E4" s="9" t="n"/>
    </row>
    <row r="5">
      <c r="A5" s="11" t="inlineStr">
        <is>
          <t>진행자</t>
        </is>
      </c>
      <c r="B5" s="12" t="inlineStr"/>
      <c r="C5" s="8" t="n"/>
      <c r="D5" s="8" t="n"/>
      <c r="E5" s="9" t="n"/>
    </row>
    <row r="6">
      <c r="A6" s="11" t="inlineStr">
        <is>
          <t>기록자</t>
        </is>
      </c>
      <c r="B6" s="12" t="inlineStr"/>
      <c r="C6" s="8" t="n"/>
      <c r="D6" s="8" t="n"/>
      <c r="E6" s="9" t="n"/>
    </row>
    <row r="7">
      <c r="A7" s="11" t="inlineStr">
        <is>
          <t>참석자</t>
        </is>
      </c>
      <c r="B7" s="12" t="inlineStr"/>
      <c r="C7" s="8" t="n"/>
      <c r="D7" s="8" t="n"/>
      <c r="E7" s="9" t="n"/>
    </row>
    <row r="9">
      <c r="A9" s="1" t="inlineStr">
        <is>
          <t>■ 1. 실적 리뷰</t>
        </is>
      </c>
    </row>
    <row r="10" ht="26" customHeight="1">
      <c r="A10" s="4" t="inlineStr">
        <is>
          <t>BD-ID</t>
        </is>
      </c>
      <c r="B10" s="4" t="inlineStr">
        <is>
          <t>업무명</t>
        </is>
      </c>
      <c r="C10" s="4" t="inlineStr">
        <is>
          <t>담당자</t>
        </is>
      </c>
      <c r="D10" s="4" t="inlineStr">
        <is>
          <t>완료 여부</t>
        </is>
      </c>
      <c r="E10" s="4" t="inlineStr">
        <is>
          <t>미완료 사유 분류</t>
        </is>
      </c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1">
      <c r="A21" s="1" t="inlineStr">
        <is>
          <t>■ 2. 좋았던 점 (Keep)</t>
        </is>
      </c>
    </row>
    <row r="22">
      <c r="A22" s="12" t="inlineStr"/>
      <c r="B22" s="8" t="n"/>
      <c r="C22" s="8" t="n"/>
      <c r="D22" s="8" t="n"/>
      <c r="E22" s="9" t="n"/>
    </row>
    <row r="23">
      <c r="A23" s="12" t="inlineStr"/>
      <c r="B23" s="8" t="n"/>
      <c r="C23" s="8" t="n"/>
      <c r="D23" s="8" t="n"/>
      <c r="E23" s="9" t="n"/>
    </row>
    <row r="24">
      <c r="A24" s="12" t="inlineStr"/>
      <c r="B24" s="8" t="n"/>
      <c r="C24" s="8" t="n"/>
      <c r="D24" s="8" t="n"/>
      <c r="E24" s="9" t="n"/>
    </row>
    <row r="26">
      <c r="A26" s="1" t="inlineStr">
        <is>
          <t>■ 3. 문제점 (Problem)</t>
        </is>
      </c>
    </row>
    <row r="27">
      <c r="A27" s="12" t="inlineStr"/>
      <c r="B27" s="8" t="n"/>
      <c r="C27" s="8" t="n"/>
      <c r="D27" s="8" t="n"/>
      <c r="E27" s="9" t="n"/>
    </row>
    <row r="28">
      <c r="A28" s="12" t="inlineStr"/>
      <c r="B28" s="8" t="n"/>
      <c r="C28" s="8" t="n"/>
      <c r="D28" s="8" t="n"/>
      <c r="E28" s="9" t="n"/>
    </row>
    <row r="29">
      <c r="A29" s="12" t="inlineStr"/>
      <c r="B29" s="8" t="n"/>
      <c r="C29" s="8" t="n"/>
      <c r="D29" s="8" t="n"/>
      <c r="E29" s="9" t="n"/>
    </row>
    <row r="31">
      <c r="A31" s="1" t="inlineStr">
        <is>
          <t>■ 4. 개선 액션 (Try) — 다음 주 적용</t>
        </is>
      </c>
    </row>
    <row r="32" ht="26" customHeight="1">
      <c r="A32" s="4" t="inlineStr">
        <is>
          <t>No.</t>
        </is>
      </c>
      <c r="B32" s="4" t="inlineStr">
        <is>
          <t>개선 액션</t>
        </is>
      </c>
      <c r="C32" s="4" t="inlineStr">
        <is>
          <t>담당자</t>
        </is>
      </c>
      <c r="D32" s="4" t="inlineStr">
        <is>
          <t>기한</t>
        </is>
      </c>
      <c r="E32" s="4" t="inlineStr">
        <is>
          <t>성공 기준</t>
        </is>
      </c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</sheetData>
  <mergeCells count="12">
    <mergeCell ref="A29:E29"/>
    <mergeCell ref="B4:E4"/>
    <mergeCell ref="A2:E2"/>
    <mergeCell ref="A24:E24"/>
    <mergeCell ref="A28:E28"/>
    <mergeCell ref="B6:E6"/>
    <mergeCell ref="B7:E7"/>
    <mergeCell ref="A1:E1"/>
    <mergeCell ref="A23:E23"/>
    <mergeCell ref="B5:E5"/>
    <mergeCell ref="A22:E22"/>
    <mergeCell ref="A27:E27"/>
  </mergeCells>
  <dataValidations count="18">
    <dataValidation sqref="D11" showDropDown="0" showInputMessage="0" showErrorMessage="0" allowBlank="1" type="list">
      <formula1>"완료,부분완료,미완료,이월"</formula1>
    </dataValidation>
    <dataValidation sqref="E11" showDropDown="0" showInputMessage="0" showErrorMessage="0" allowBlank="1" type="list">
      <formula1>"양 문제,역량 문제,프로세스 문제,외부 의존,N/A"</formula1>
    </dataValidation>
    <dataValidation sqref="D12" showDropDown="0" showInputMessage="0" showErrorMessage="0" allowBlank="1" type="list">
      <formula1>"완료,부분완료,미완료,이월"</formula1>
    </dataValidation>
    <dataValidation sqref="E12" showDropDown="0" showInputMessage="0" showErrorMessage="0" allowBlank="1" type="list">
      <formula1>"양 문제,역량 문제,프로세스 문제,외부 의존,N/A"</formula1>
    </dataValidation>
    <dataValidation sqref="D13" showDropDown="0" showInputMessage="0" showErrorMessage="0" allowBlank="1" type="list">
      <formula1>"완료,부분완료,미완료,이월"</formula1>
    </dataValidation>
    <dataValidation sqref="E13" showDropDown="0" showInputMessage="0" showErrorMessage="0" allowBlank="1" type="list">
      <formula1>"양 문제,역량 문제,프로세스 문제,외부 의존,N/A"</formula1>
    </dataValidation>
    <dataValidation sqref="D14" showDropDown="0" showInputMessage="0" showErrorMessage="0" allowBlank="1" type="list">
      <formula1>"완료,부분완료,미완료,이월"</formula1>
    </dataValidation>
    <dataValidation sqref="E14" showDropDown="0" showInputMessage="0" showErrorMessage="0" allowBlank="1" type="list">
      <formula1>"양 문제,역량 문제,프로세스 문제,외부 의존,N/A"</formula1>
    </dataValidation>
    <dataValidation sqref="D15" showDropDown="0" showInputMessage="0" showErrorMessage="0" allowBlank="1" type="list">
      <formula1>"완료,부분완료,미완료,이월"</formula1>
    </dataValidation>
    <dataValidation sqref="E15" showDropDown="0" showInputMessage="0" showErrorMessage="0" allowBlank="1" type="list">
      <formula1>"양 문제,역량 문제,프로세스 문제,외부 의존,N/A"</formula1>
    </dataValidation>
    <dataValidation sqref="D16" showDropDown="0" showInputMessage="0" showErrorMessage="0" allowBlank="1" type="list">
      <formula1>"완료,부분완료,미완료,이월"</formula1>
    </dataValidation>
    <dataValidation sqref="E16" showDropDown="0" showInputMessage="0" showErrorMessage="0" allowBlank="1" type="list">
      <formula1>"양 문제,역량 문제,프로세스 문제,외부 의존,N/A"</formula1>
    </dataValidation>
    <dataValidation sqref="D17" showDropDown="0" showInputMessage="0" showErrorMessage="0" allowBlank="1" type="list">
      <formula1>"완료,부분완료,미완료,이월"</formula1>
    </dataValidation>
    <dataValidation sqref="E17" showDropDown="0" showInputMessage="0" showErrorMessage="0" allowBlank="1" type="list">
      <formula1>"양 문제,역량 문제,프로세스 문제,외부 의존,N/A"</formula1>
    </dataValidation>
    <dataValidation sqref="D18" showDropDown="0" showInputMessage="0" showErrorMessage="0" allowBlank="1" type="list">
      <formula1>"완료,부분완료,미완료,이월"</formula1>
    </dataValidation>
    <dataValidation sqref="E18" showDropDown="0" showInputMessage="0" showErrorMessage="0" allowBlank="1" type="list">
      <formula1>"양 문제,역량 문제,프로세스 문제,외부 의존,N/A"</formula1>
    </dataValidation>
    <dataValidation sqref="D19" showDropDown="0" showInputMessage="0" showErrorMessage="0" allowBlank="1" type="list">
      <formula1>"완료,부분완료,미완료,이월"</formula1>
    </dataValidation>
    <dataValidation sqref="E19" showDropDown="0" showInputMessage="0" showErrorMessage="0" allowBlank="1" type="list">
      <formula1>"양 문제,역량 문제,프로세스 문제,외부 의존,N/A"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1" t="inlineStr">
        <is>
          <t>[양식 G] 연장근로 사전동의서</t>
        </is>
      </c>
    </row>
    <row r="2" ht="16" customHeight="1">
      <c r="A2" s="2" t="inlineStr">
        <is>
          <t>근로기준법 §53, §56에 따라 사전 동의 + 1.5배 가산수당 지급.</t>
        </is>
      </c>
    </row>
    <row r="4">
      <c r="A4" s="11" t="inlineStr">
        <is>
          <t>연도/월/주차</t>
        </is>
      </c>
      <c r="B4" s="5" t="inlineStr"/>
      <c r="C4" s="8" t="n"/>
      <c r="D4" s="9" t="n"/>
    </row>
    <row r="5">
      <c r="A5" s="11" t="inlineStr">
        <is>
          <t>성명</t>
        </is>
      </c>
      <c r="B5" s="5" t="inlineStr"/>
      <c r="C5" s="8" t="n"/>
      <c r="D5" s="9" t="n"/>
    </row>
    <row r="6">
      <c r="A6" s="11" t="inlineStr">
        <is>
          <t>소속</t>
        </is>
      </c>
      <c r="B6" s="5" t="inlineStr"/>
      <c r="C6" s="8" t="n"/>
      <c r="D6" s="9" t="n"/>
    </row>
    <row r="7">
      <c r="A7" s="11" t="inlineStr">
        <is>
          <t>주 법정근로시간(h)</t>
        </is>
      </c>
      <c r="B7" s="5" t="inlineStr">
        <is>
          <t>40</t>
        </is>
      </c>
      <c r="C7" s="8" t="n"/>
      <c r="D7" s="9" t="n"/>
    </row>
    <row r="8">
      <c r="A8" s="11" t="inlineStr">
        <is>
          <t>이번 주 기 등록 업무 누적(h)</t>
        </is>
      </c>
      <c r="B8" s="5" t="inlineStr"/>
      <c r="C8" s="8" t="n"/>
      <c r="D8" s="9" t="n"/>
    </row>
    <row r="9">
      <c r="A9" s="11" t="inlineStr">
        <is>
          <t>추가 연장근로 사유 (구체적 업무)</t>
        </is>
      </c>
      <c r="B9" s="5" t="inlineStr"/>
      <c r="C9" s="8" t="n"/>
      <c r="D9" s="9" t="n"/>
    </row>
    <row r="10">
      <c r="A10" s="11" t="inlineStr">
        <is>
          <t>예상 연장시간(h)</t>
        </is>
      </c>
      <c r="B10" s="5" t="inlineStr"/>
      <c r="C10" s="8" t="n"/>
      <c r="D10" s="9" t="n"/>
    </row>
    <row r="11">
      <c r="A11" s="11" t="inlineStr">
        <is>
          <t>연장 일정 (일자/시간대)</t>
        </is>
      </c>
      <c r="B11" s="5" t="inlineStr"/>
      <c r="C11" s="8" t="n"/>
      <c r="D11" s="9" t="n"/>
    </row>
    <row r="12">
      <c r="A12" s="11" t="inlineStr">
        <is>
          <t>주간 총 근로시간 합계</t>
        </is>
      </c>
      <c r="B12" s="5">
        <f>B7+B10</f>
        <v/>
      </c>
      <c r="C12" s="8" t="n"/>
      <c r="D12" s="9" t="n"/>
    </row>
    <row r="13">
      <c r="A13" s="11" t="inlineStr">
        <is>
          <t>52시간 초과 여부 (자동)</t>
        </is>
      </c>
      <c r="B13" s="5">
        <f>IF(B12&gt;52,"초과 - 승인 불가","적정")</f>
        <v/>
      </c>
      <c r="C13" s="8" t="n"/>
      <c r="D13" s="9" t="n"/>
    </row>
    <row r="14">
      <c r="A14" s="11" t="inlineStr">
        <is>
          <t>연장근로수당 산정(통상시급 × 시간 × 1.5)</t>
        </is>
      </c>
      <c r="B14" s="5" t="inlineStr"/>
      <c r="C14" s="8" t="n"/>
      <c r="D14" s="9" t="n"/>
    </row>
    <row r="15">
      <c r="A15" s="11" t="inlineStr">
        <is>
          <t>본인 동의 (서명/날인)</t>
        </is>
      </c>
      <c r="B15" s="5" t="inlineStr"/>
      <c r="C15" s="8" t="n"/>
      <c r="D15" s="9" t="n"/>
    </row>
    <row r="16">
      <c r="A16" s="11" t="inlineStr">
        <is>
          <t>부서장 승인</t>
        </is>
      </c>
      <c r="B16" s="5" t="inlineStr"/>
      <c r="C16" s="8" t="n"/>
      <c r="D16" s="9" t="n"/>
    </row>
    <row r="17">
      <c r="A17" s="11" t="inlineStr">
        <is>
          <t>인사팀 확인</t>
        </is>
      </c>
      <c r="B17" s="5" t="inlineStr"/>
      <c r="C17" s="8" t="n"/>
      <c r="D17" s="9" t="n"/>
    </row>
    <row r="18">
      <c r="A18" s="11" t="inlineStr">
        <is>
          <t>비고</t>
        </is>
      </c>
      <c r="B18" s="5" t="inlineStr"/>
      <c r="C18" s="8" t="n"/>
      <c r="D18" s="9" t="n"/>
    </row>
  </sheetData>
  <mergeCells count="17">
    <mergeCell ref="B10:D10"/>
    <mergeCell ref="A1:D1"/>
    <mergeCell ref="B11:D11"/>
    <mergeCell ref="B5:D5"/>
    <mergeCell ref="B14:D14"/>
    <mergeCell ref="B15:D15"/>
    <mergeCell ref="B8:D8"/>
    <mergeCell ref="B4:D4"/>
    <mergeCell ref="B17:D17"/>
    <mergeCell ref="B9:D9"/>
    <mergeCell ref="B13:D13"/>
    <mergeCell ref="B18:D18"/>
    <mergeCell ref="A2:D2"/>
    <mergeCell ref="B12:D12"/>
    <mergeCell ref="B7:D7"/>
    <mergeCell ref="B6:D6"/>
    <mergeCell ref="B16:D16"/>
  </mergeCells>
  <conditionalFormatting sqref="B13">
    <cfRule type="expression" priority="1" dxfId="3">
      <formula>B13="초과 - 승인 불가"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2026-05-11T23:08:00Z</dcterms:created>
  <dcterms:modified xsi:type="dcterms:W3CDTF">2026-05-11T23:08:00Z</dcterms:modified>
</cp:coreProperties>
</file>